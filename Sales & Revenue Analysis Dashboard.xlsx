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data anyalst\"/>
    </mc:Choice>
  </mc:AlternateContent>
  <xr:revisionPtr revIDLastSave="0" documentId="8_{C8D69751-D4DE-45DF-BF05-8F2411540D2C}" xr6:coauthVersionLast="47" xr6:coauthVersionMax="47" xr10:uidLastSave="{00000000-0000-0000-0000-000000000000}"/>
  <bookViews>
    <workbookView xWindow="-108" yWindow="-108" windowWidth="23256" windowHeight="12456" xr2:uid="{CC9A41D8-49CF-4CC1-8755-16B8804D6824}"/>
  </bookViews>
  <sheets>
    <sheet name="Sheet1" sheetId="1" r:id="rId1"/>
  </sheets>
  <definedNames>
    <definedName name="Slicer_Category">#N/A</definedName>
    <definedName name="Slicer_Product">#N/A</definedName>
    <definedName name="Slicer_Region">#N/A</definedName>
  </definedNames>
  <calcPr calcId="191029"/>
  <pivotCaches>
    <pivotCache cacheId="35"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 l="1"/>
  <c r="K5" i="1"/>
  <c r="K4" i="1"/>
  <c r="K2" i="1"/>
  <c r="K3" i="1"/>
</calcChain>
</file>

<file path=xl/sharedStrings.xml><?xml version="1.0" encoding="utf-8"?>
<sst xmlns="http://schemas.openxmlformats.org/spreadsheetml/2006/main" count="83" uniqueCount="37">
  <si>
    <t>Order ID</t>
  </si>
  <si>
    <t>Date</t>
  </si>
  <si>
    <t>Product</t>
  </si>
  <si>
    <t>Category</t>
  </si>
  <si>
    <t>Region</t>
  </si>
  <si>
    <t>Quantity</t>
  </si>
  <si>
    <t>Unit Price</t>
  </si>
  <si>
    <t>Revenue</t>
  </si>
  <si>
    <t>Laptop</t>
  </si>
  <si>
    <t>Electronics</t>
  </si>
  <si>
    <t>North</t>
  </si>
  <si>
    <t>Smartphone</t>
  </si>
  <si>
    <t>South</t>
  </si>
  <si>
    <t>Headphones</t>
  </si>
  <si>
    <t>Accessories</t>
  </si>
  <si>
    <t>West</t>
  </si>
  <si>
    <t>Desk Chair</t>
  </si>
  <si>
    <t>Furniture</t>
  </si>
  <si>
    <t>East</t>
  </si>
  <si>
    <t>Monitor</t>
  </si>
  <si>
    <t>Keyboard</t>
  </si>
  <si>
    <t>Mouse</t>
  </si>
  <si>
    <t>Tablet</t>
  </si>
  <si>
    <t>Sofa</t>
  </si>
  <si>
    <t>Printer</t>
  </si>
  <si>
    <t>Highest Sale</t>
  </si>
  <si>
    <t>average</t>
  </si>
  <si>
    <t>sum</t>
  </si>
  <si>
    <t>revenue</t>
  </si>
  <si>
    <t>total revenue</t>
  </si>
  <si>
    <t xml:space="preserve">total sale </t>
  </si>
  <si>
    <t>total value</t>
  </si>
  <si>
    <t>Grand Total</t>
  </si>
  <si>
    <t>Jan</t>
  </si>
  <si>
    <t>Feb</t>
  </si>
  <si>
    <t>Sum of Revenue</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</si>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</sst>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0" borderId="0" xfId="0" applyFont="1" applyAlignment="1">
      <alignment horizontal="left"/>
    </xf>
    <xf numFmtId="0" fontId="1" fillId="0" borderId="0" xfId="0" applyFont="1" applyAlignment="1">
      <alignment horizontal="left" vertical="center"/>
    </xf>
    <xf numFmtId="0" fontId="0" fillId="0" borderId="0" xfId="0" applyAlignment="1">
      <alignment horizontal="left" vertical="top"/>
    </xf>
    <xf numFmtId="0" fontId="1" fillId="0" borderId="0" xfId="0" applyFont="1" applyAlignment="1">
      <alignment horizontal="left" vertical="top"/>
    </xf>
    <xf numFmtId="0" fontId="0" fillId="0" borderId="0" xfId="0" pivotButton="1" applyAlignment="1">
      <alignment horizontal="left" vertical="center"/>
    </xf>
    <xf numFmtId="0" fontId="0" fillId="0" borderId="0" xfId="0" applyAlignment="1">
      <alignment horizontal="left" vertical="center" wrapText="1"/>
    </xf>
    <xf numFmtId="0" fontId="0" fillId="0" borderId="0" xfId="0" applyNumberFormat="1" applyAlignment="1">
      <alignment horizontal="left" vertical="center" wrapText="1"/>
    </xf>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0" fontId="0" fillId="0" borderId="0" xfId="0" pivotButton="1" applyAlignment="1"/>
    <xf numFmtId="0" fontId="0" fillId="0" borderId="0" xfId="0" applyAlignment="1"/>
    <xf numFmtId="0" fontId="0" fillId="0" borderId="0" xfId="0" applyNumberFormat="1" applyAlignment="1"/>
    <xf numFmtId="0" fontId="1" fillId="0" borderId="0" xfId="0" applyFont="1" applyAlignment="1"/>
  </cellXfs>
  <cellStyles count="1">
    <cellStyle name="Normal" xfId="0" builtinId="0"/>
  </cellStyles>
  <dxfs count="176">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wrapText="0"/>
    </dxf>
    <dxf>
      <alignment wrapText="1"/>
    </dxf>
    <dxf>
      <alignment wrapText="0"/>
    </dxf>
    <dxf>
      <alignment wrapText="0"/>
    </dxf>
    <dxf>
      <alignment wrapText="0"/>
    </dxf>
    <dxf>
      <alignment wrapText="0"/>
    </dxf>
    <dxf>
      <alignment wrapText="0"/>
    </dxf>
    <dxf>
      <alignment wrapText="0"/>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0"/>
    </dxf>
    <dxf>
      <alignment wrapText="1"/>
    </dxf>
    <dxf>
      <alignment wrapText="1"/>
    </dxf>
    <dxf>
      <alignment wrapText="1"/>
    </dxf>
    <dxf>
      <alignment wrapText="1"/>
    </dxf>
    <dxf>
      <alignment wrapText="1"/>
    </dxf>
    <dxf>
      <alignment wrapText="1"/>
    </dxf>
    <dxf>
      <alignment wrapText="0"/>
    </dxf>
    <dxf>
      <alignment wrapText="1"/>
    </dxf>
    <dxf>
      <alignment wrapText="0"/>
    </dxf>
    <dxf>
      <alignment wrapText="0"/>
    </dxf>
    <dxf>
      <alignment wrapText="0"/>
    </dxf>
    <dxf>
      <alignment wrapText="0"/>
    </dxf>
    <dxf>
      <alignment wrapText="0"/>
    </dxf>
    <dxf>
      <alignment wrapText="0"/>
    </dxf>
    <dxf>
      <alignment wrapText="0"/>
    </dxf>
    <dxf>
      <alignment wrapText="1"/>
    </dxf>
    <dxf>
      <alignment wrapText="1"/>
    </dxf>
    <dxf>
      <alignment wrapText="0"/>
    </dxf>
    <dxf>
      <alignment wrapText="1"/>
    </dxf>
    <dxf>
      <alignment wrapText="1"/>
    </dxf>
    <dxf>
      <alignment wrapText="0"/>
    </dxf>
    <dxf>
      <alignment wrapText="0"/>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0"/>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Analysis Dashboard.xlsx]Sheet1!PivotTable6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Sheet1!$K$8</c:f>
              <c:strCache>
                <c:ptCount val="1"/>
                <c:pt idx="0">
                  <c:v>Total</c:v>
                </c:pt>
              </c:strCache>
            </c:strRef>
          </c:tx>
          <c:spPr>
            <a:ln w="28575" cap="rnd">
              <a:solidFill>
                <a:schemeClr val="accent1"/>
              </a:solidFill>
              <a:round/>
            </a:ln>
            <a:effectLst/>
          </c:spPr>
          <c:marker>
            <c:symbol val="none"/>
          </c:marker>
          <c:cat>
            <c:strRef>
              <c:f>Sheet1!$J$9:$J$11</c:f>
              <c:strCache>
                <c:ptCount val="2"/>
                <c:pt idx="0">
                  <c:v>Jan</c:v>
                </c:pt>
                <c:pt idx="1">
                  <c:v>Feb</c:v>
                </c:pt>
              </c:strCache>
            </c:strRef>
          </c:cat>
          <c:val>
            <c:numRef>
              <c:f>Sheet1!$K$9:$K$11</c:f>
              <c:numCache>
                <c:formatCode>General</c:formatCode>
                <c:ptCount val="2"/>
                <c:pt idx="0">
                  <c:v>292800</c:v>
                </c:pt>
                <c:pt idx="1">
                  <c:v>124500</c:v>
                </c:pt>
              </c:numCache>
            </c:numRef>
          </c:val>
          <c:smooth val="0"/>
          <c:extLst>
            <c:ext xmlns:c16="http://schemas.microsoft.com/office/drawing/2014/chart" uri="{C3380CC4-5D6E-409C-BE32-E72D297353CC}">
              <c16:uniqueId val="{00000000-0072-4F39-80B2-B051574B2D3F}"/>
            </c:ext>
          </c:extLst>
        </c:ser>
        <c:dLbls>
          <c:showLegendKey val="0"/>
          <c:showVal val="0"/>
          <c:showCatName val="0"/>
          <c:showSerName val="0"/>
          <c:showPercent val="0"/>
          <c:showBubbleSize val="0"/>
        </c:dLbls>
        <c:smooth val="0"/>
        <c:axId val="1999401743"/>
        <c:axId val="1999404623"/>
      </c:lineChart>
      <c:catAx>
        <c:axId val="199940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04623"/>
        <c:crosses val="autoZero"/>
        <c:auto val="1"/>
        <c:lblAlgn val="ctr"/>
        <c:lblOffset val="100"/>
        <c:noMultiLvlLbl val="0"/>
      </c:catAx>
      <c:valAx>
        <c:axId val="199940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0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Analysis Dashboard.xlsx]Sheet1!PivotTable9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c:f>
              <c:strCache>
                <c:ptCount val="1"/>
                <c:pt idx="0">
                  <c:v>Total</c:v>
                </c:pt>
              </c:strCache>
            </c:strRef>
          </c:tx>
          <c:spPr>
            <a:solidFill>
              <a:schemeClr val="accent1"/>
            </a:solidFill>
            <a:ln>
              <a:noFill/>
            </a:ln>
            <a:effectLst/>
          </c:spPr>
          <c:invertIfNegative val="0"/>
          <c:cat>
            <c:strRef>
              <c:f>Sheet1!$M$2:$M$12</c:f>
              <c:strCache>
                <c:ptCount val="10"/>
                <c:pt idx="0">
                  <c:v>Desk Chair</c:v>
                </c:pt>
                <c:pt idx="1">
                  <c:v>Headphones</c:v>
                </c:pt>
                <c:pt idx="2">
                  <c:v>Keyboard</c:v>
                </c:pt>
                <c:pt idx="3">
                  <c:v>Laptop</c:v>
                </c:pt>
                <c:pt idx="4">
                  <c:v>Monitor</c:v>
                </c:pt>
                <c:pt idx="5">
                  <c:v>Mouse</c:v>
                </c:pt>
                <c:pt idx="6">
                  <c:v>Printer</c:v>
                </c:pt>
                <c:pt idx="7">
                  <c:v>Smartphone</c:v>
                </c:pt>
                <c:pt idx="8">
                  <c:v>Sofa</c:v>
                </c:pt>
                <c:pt idx="9">
                  <c:v>Tablet</c:v>
                </c:pt>
              </c:strCache>
            </c:strRef>
          </c:cat>
          <c:val>
            <c:numRef>
              <c:f>Sheet1!$N$2:$N$12</c:f>
              <c:numCache>
                <c:formatCode>General</c:formatCode>
                <c:ptCount val="10"/>
                <c:pt idx="0">
                  <c:v>24000</c:v>
                </c:pt>
                <c:pt idx="1">
                  <c:v>10000</c:v>
                </c:pt>
                <c:pt idx="2">
                  <c:v>7500</c:v>
                </c:pt>
                <c:pt idx="3">
                  <c:v>165000</c:v>
                </c:pt>
                <c:pt idx="4">
                  <c:v>36000</c:v>
                </c:pt>
                <c:pt idx="5">
                  <c:v>4800</c:v>
                </c:pt>
                <c:pt idx="6">
                  <c:v>9000</c:v>
                </c:pt>
                <c:pt idx="7">
                  <c:v>100000</c:v>
                </c:pt>
                <c:pt idx="8">
                  <c:v>25000</c:v>
                </c:pt>
                <c:pt idx="9">
                  <c:v>36000</c:v>
                </c:pt>
              </c:numCache>
            </c:numRef>
          </c:val>
          <c:extLst>
            <c:ext xmlns:c16="http://schemas.microsoft.com/office/drawing/2014/chart" uri="{C3380CC4-5D6E-409C-BE32-E72D297353CC}">
              <c16:uniqueId val="{00000000-939D-4396-886E-D73BF723A5FC}"/>
            </c:ext>
          </c:extLst>
        </c:ser>
        <c:dLbls>
          <c:showLegendKey val="0"/>
          <c:showVal val="0"/>
          <c:showCatName val="0"/>
          <c:showSerName val="0"/>
          <c:showPercent val="0"/>
          <c:showBubbleSize val="0"/>
        </c:dLbls>
        <c:gapWidth val="219"/>
        <c:overlap val="-27"/>
        <c:axId val="1526705039"/>
        <c:axId val="1896017327"/>
      </c:barChart>
      <c:catAx>
        <c:axId val="152670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17327"/>
        <c:crosses val="autoZero"/>
        <c:auto val="1"/>
        <c:lblAlgn val="ctr"/>
        <c:lblOffset val="100"/>
        <c:noMultiLvlLbl val="0"/>
      </c:catAx>
      <c:valAx>
        <c:axId val="189601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70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Analysis Dashboard.xlsx]Sheet1!PivotTable11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Sheet1!$K$14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Sheet1!$J$15:$J$17</c:f>
              <c:strCache>
                <c:ptCount val="2"/>
                <c:pt idx="0">
                  <c:v>South</c:v>
                </c:pt>
                <c:pt idx="1">
                  <c:v>West</c:v>
                </c:pt>
              </c:strCache>
            </c:strRef>
          </c:cat>
          <c:val>
            <c:numRef>
              <c:f>Sheet1!$K$15:$K$17</c:f>
              <c:numCache>
                <c:formatCode>General</c:formatCode>
                <c:ptCount val="2"/>
                <c:pt idx="0">
                  <c:v>6000</c:v>
                </c:pt>
                <c:pt idx="1">
                  <c:v>1500</c:v>
                </c:pt>
              </c:numCache>
            </c:numRef>
          </c:val>
          <c:extLst>
            <c:ext xmlns:c16="http://schemas.microsoft.com/office/drawing/2014/chart" uri="{C3380CC4-5D6E-409C-BE32-E72D297353CC}">
              <c16:uniqueId val="{00000000-E1CD-46B6-9AD0-1A09F77352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228599</xdr:colOff>
      <xdr:row>16</xdr:row>
      <xdr:rowOff>162791</xdr:rowOff>
    </xdr:from>
    <xdr:to>
      <xdr:col>7</xdr:col>
      <xdr:colOff>654627</xdr:colOff>
      <xdr:row>32</xdr:row>
      <xdr:rowOff>13855</xdr:rowOff>
    </xdr:to>
    <xdr:graphicFrame macro="">
      <xdr:nvGraphicFramePr>
        <xdr:cNvPr id="12" name="Chart 11">
          <a:extLst>
            <a:ext uri="{FF2B5EF4-FFF2-40B4-BE49-F238E27FC236}">
              <a16:creationId xmlns:a16="http://schemas.microsoft.com/office/drawing/2014/main" id="{D7A1821C-4E35-7926-3BE1-626AB2864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1162050</xdr:colOff>
      <xdr:row>17</xdr:row>
      <xdr:rowOff>143742</xdr:rowOff>
    </xdr:from>
    <xdr:to>
      <xdr:col>13</xdr:col>
      <xdr:colOff>277091</xdr:colOff>
      <xdr:row>32</xdr:row>
      <xdr:rowOff>167294</xdr:rowOff>
    </xdr:to>
    <xdr:graphicFrame macro="">
      <xdr:nvGraphicFramePr>
        <xdr:cNvPr id="15" name="Chart 14">
          <a:extLst>
            <a:ext uri="{FF2B5EF4-FFF2-40B4-BE49-F238E27FC236}">
              <a16:creationId xmlns:a16="http://schemas.microsoft.com/office/drawing/2014/main" id="{CBA07219-BF57-891C-553C-8D186E7B7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167986</xdr:colOff>
      <xdr:row>16</xdr:row>
      <xdr:rowOff>126422</xdr:rowOff>
    </xdr:from>
    <xdr:to>
      <xdr:col>3</xdr:col>
      <xdr:colOff>1141268</xdr:colOff>
      <xdr:row>31</xdr:row>
      <xdr:rowOff>167986</xdr:rowOff>
    </xdr:to>
    <xdr:graphicFrame macro="">
      <xdr:nvGraphicFramePr>
        <xdr:cNvPr id="23" name="Chart 22">
          <a:extLst>
            <a:ext uri="{FF2B5EF4-FFF2-40B4-BE49-F238E27FC236}">
              <a16:creationId xmlns:a16="http://schemas.microsoft.com/office/drawing/2014/main" id="{C0F71567-BF45-4A47-C966-1395217E7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136813</xdr:colOff>
      <xdr:row>32</xdr:row>
      <xdr:rowOff>139238</xdr:rowOff>
    </xdr:from>
    <xdr:to>
      <xdr:col>1</xdr:col>
      <xdr:colOff>1016577</xdr:colOff>
      <xdr:row>46</xdr:row>
      <xdr:rowOff>84686</xdr:rowOff>
    </xdr:to>
    <mc:AlternateContent xmlns:mc="http://schemas.openxmlformats.org/markup-compatibility/2006">
      <mc:Choice xmlns:a14="http://schemas.microsoft.com/office/drawing/2010/main" Requires="a14">
        <xdr:graphicFrame macro="">
          <xdr:nvGraphicFramePr>
            <xdr:cNvPr id="24" name="Product">
              <a:extLst>
                <a:ext uri="{FF2B5EF4-FFF2-40B4-BE49-F238E27FC236}">
                  <a16:creationId xmlns:a16="http://schemas.microsoft.com/office/drawing/2014/main" id="{DFED6077-006C-951D-B5AF-F78A77B3A6B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6813" y="6262947"/>
              <a:ext cx="183572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1183178</xdr:colOff>
      <xdr:row>32</xdr:row>
      <xdr:rowOff>137852</xdr:rowOff>
    </xdr:from>
    <xdr:to>
      <xdr:col>3</xdr:col>
      <xdr:colOff>374419</xdr:colOff>
      <xdr:row>46</xdr:row>
      <xdr:rowOff>83300</xdr:rowOff>
    </xdr:to>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A127616F-0FA0-0B74-4732-AB68A7E3F5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39142" y="6261561"/>
              <a:ext cx="183745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587779</xdr:colOff>
      <xdr:row>33</xdr:row>
      <xdr:rowOff>22167</xdr:rowOff>
    </xdr:from>
    <xdr:to>
      <xdr:col>4</xdr:col>
      <xdr:colOff>1145424</xdr:colOff>
      <xdr:row>46</xdr:row>
      <xdr:rowOff>147724</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516CB3E4-0263-949C-DB25-3BEEFE8B8D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89961" y="6325985"/>
              <a:ext cx="181840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kha Lad" refreshedDate="46150.559613310186" createdVersion="8" refreshedVersion="8" minRefreshableVersion="3" recordCount="15" xr:uid="{6074128A-7800-4E28-ABF5-51373265AC15}">
  <cacheSource type="worksheet">
    <worksheetSource name="Table1"/>
  </cacheSource>
  <cacheFields count="10">
    <cacheField name="Order ID" numFmtId="0">
      <sharedItems containsSemiMixedTypes="0" containsString="0" containsNumber="1" containsInteger="1" minValue="1001" maxValue="1015"/>
    </cacheField>
    <cacheField name="Date" numFmtId="14">
      <sharedItems containsSemiMixedTypes="0" containsNonDate="0" containsDate="1" containsString="0" minDate="2025-01-05T00:00:00" maxDate="2025-02-13T00:00:00" count="15">
        <d v="2025-01-05T00:00:00"/>
        <d v="2025-01-07T00:00:00"/>
        <d v="2025-01-08T00:00:00"/>
        <d v="2025-01-10T00:00:00"/>
        <d v="2025-01-12T00:00:00"/>
        <d v="2025-01-15T00:00:00"/>
        <d v="2025-01-18T00:00:00"/>
        <d v="2025-01-20T00:00:00"/>
        <d v="2025-01-22T00:00:00"/>
        <d v="2025-01-25T00:00:00"/>
        <d v="2025-02-02T00:00:00"/>
        <d v="2025-02-05T00:00:00"/>
        <d v="2025-02-08T00:00:00"/>
        <d v="2025-02-10T00:00:00"/>
        <d v="2025-02-12T00:00:00"/>
      </sharedItems>
      <fieldGroup par="9"/>
    </cacheField>
    <cacheField name="Product" numFmtId="0">
      <sharedItems count="10">
        <s v="Laptop"/>
        <s v="Smartphone"/>
        <s v="Headphones"/>
        <s v="Desk Chair"/>
        <s v="Monitor"/>
        <s v="Keyboard"/>
        <s v="Mouse"/>
        <s v="Tablet"/>
        <s v="Sofa"/>
        <s v="Printer"/>
      </sharedItems>
    </cacheField>
    <cacheField name="Category" numFmtId="0">
      <sharedItems count="3">
        <s v="Electronics"/>
        <s v="Accessories"/>
        <s v="Furniture"/>
      </sharedItems>
    </cacheField>
    <cacheField name="Region" numFmtId="0">
      <sharedItems count="4">
        <s v="North"/>
        <s v="South"/>
        <s v="West"/>
        <s v="East"/>
      </sharedItems>
    </cacheField>
    <cacheField name="Quantity" numFmtId="0">
      <sharedItems containsSemiMixedTypes="0" containsString="0" containsNumber="1" containsInteger="1" minValue="1" maxValue="6"/>
    </cacheField>
    <cacheField name="Unit Price" numFmtId="0">
      <sharedItems containsSemiMixedTypes="0" containsString="0" containsNumber="1" containsInteger="1" minValue="800" maxValue="55000"/>
    </cacheField>
    <cacheField name="Revenue" numFmtId="0">
      <sharedItems containsSemiMixedTypes="0" containsString="0" containsNumber="1" containsInteger="1" minValue="1500" maxValue="110000"/>
    </cacheField>
    <cacheField name="Days (Date)" numFmtId="0" databaseField="0">
      <fieldGroup base="1">
        <rangePr groupBy="days" startDate="2025-01-05T00:00:00" endDate="2025-02-13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2-2025"/>
        </groupItems>
      </fieldGroup>
    </cacheField>
    <cacheField name="Months (Date)" numFmtId="0" databaseField="0">
      <fieldGroup base="1">
        <rangePr groupBy="months" startDate="2025-01-05T00:00:00" endDate="2025-02-13T00:00:00"/>
        <groupItems count="14">
          <s v="&lt;05-01-2025"/>
          <s v="Jan"/>
          <s v="Feb"/>
          <s v="Mar"/>
          <s v="Apr"/>
          <s v="May"/>
          <s v="Jun"/>
          <s v="Jul"/>
          <s v="Aug"/>
          <s v="Sep"/>
          <s v="Oct"/>
          <s v="Nov"/>
          <s v="Dec"/>
          <s v="&gt;13-02-2025"/>
        </groupItems>
      </fieldGroup>
    </cacheField>
  </cacheFields>
  <extLst>
    <ext xmlns:x14="http://schemas.microsoft.com/office/spreadsheetml/2009/9/main" uri="{725AE2AE-9491-48be-B2B4-4EB974FC3084}">
      <x14:pivotCacheDefinition pivotCacheId="1043845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n v="2"/>
    <n v="55000"/>
    <n v="110000"/>
  </r>
  <r>
    <n v="1002"/>
    <x v="1"/>
    <x v="1"/>
    <x v="0"/>
    <x v="1"/>
    <n v="3"/>
    <n v="20000"/>
    <n v="60000"/>
  </r>
  <r>
    <n v="1003"/>
    <x v="2"/>
    <x v="2"/>
    <x v="1"/>
    <x v="2"/>
    <n v="5"/>
    <n v="2000"/>
    <n v="10000"/>
  </r>
  <r>
    <n v="1004"/>
    <x v="3"/>
    <x v="3"/>
    <x v="2"/>
    <x v="3"/>
    <n v="1"/>
    <n v="8000"/>
    <n v="8000"/>
  </r>
  <r>
    <n v="1005"/>
    <x v="4"/>
    <x v="4"/>
    <x v="0"/>
    <x v="0"/>
    <n v="2"/>
    <n v="12000"/>
    <n v="24000"/>
  </r>
  <r>
    <n v="1006"/>
    <x v="5"/>
    <x v="5"/>
    <x v="1"/>
    <x v="1"/>
    <n v="4"/>
    <n v="1500"/>
    <n v="6000"/>
  </r>
  <r>
    <n v="1007"/>
    <x v="6"/>
    <x v="6"/>
    <x v="1"/>
    <x v="2"/>
    <n v="6"/>
    <n v="800"/>
    <n v="4800"/>
  </r>
  <r>
    <n v="1008"/>
    <x v="7"/>
    <x v="7"/>
    <x v="0"/>
    <x v="3"/>
    <n v="2"/>
    <n v="18000"/>
    <n v="36000"/>
  </r>
  <r>
    <n v="1009"/>
    <x v="8"/>
    <x v="8"/>
    <x v="2"/>
    <x v="0"/>
    <n v="1"/>
    <n v="25000"/>
    <n v="25000"/>
  </r>
  <r>
    <n v="1010"/>
    <x v="9"/>
    <x v="9"/>
    <x v="0"/>
    <x v="1"/>
    <n v="1"/>
    <n v="9000"/>
    <n v="9000"/>
  </r>
  <r>
    <n v="1011"/>
    <x v="10"/>
    <x v="0"/>
    <x v="0"/>
    <x v="2"/>
    <n v="1"/>
    <n v="55000"/>
    <n v="55000"/>
  </r>
  <r>
    <n v="1012"/>
    <x v="11"/>
    <x v="1"/>
    <x v="0"/>
    <x v="3"/>
    <n v="2"/>
    <n v="20000"/>
    <n v="40000"/>
  </r>
  <r>
    <n v="1013"/>
    <x v="12"/>
    <x v="3"/>
    <x v="2"/>
    <x v="0"/>
    <n v="2"/>
    <n v="8000"/>
    <n v="16000"/>
  </r>
  <r>
    <n v="1014"/>
    <x v="13"/>
    <x v="4"/>
    <x v="0"/>
    <x v="1"/>
    <n v="1"/>
    <n v="12000"/>
    <n v="12000"/>
  </r>
  <r>
    <n v="1015"/>
    <x v="14"/>
    <x v="5"/>
    <x v="1"/>
    <x v="2"/>
    <n v="3"/>
    <n v="1500"/>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7448C-C42D-41AD-975B-1DFDF0D2A50E}" name="PivotTable1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J14:K17" firstHeaderRow="1" firstDataRow="1" firstDataCol="1"/>
  <pivotFields count="10">
    <pivotField showAll="0"/>
    <pivotField numFmtId="14" showAll="0">
      <items count="16">
        <item x="0"/>
        <item x="1"/>
        <item x="2"/>
        <item x="3"/>
        <item x="4"/>
        <item x="5"/>
        <item x="6"/>
        <item x="7"/>
        <item x="8"/>
        <item x="9"/>
        <item x="10"/>
        <item x="11"/>
        <item x="12"/>
        <item x="13"/>
        <item x="14"/>
        <item t="default"/>
      </items>
    </pivotField>
    <pivotField showAll="0">
      <items count="11">
        <item h="1" x="3"/>
        <item h="1" x="2"/>
        <item x="5"/>
        <item h="1" x="0"/>
        <item h="1" x="4"/>
        <item h="1" x="6"/>
        <item h="1" x="9"/>
        <item h="1" x="1"/>
        <item h="1" x="8"/>
        <item h="1" x="7"/>
        <item t="default"/>
      </items>
    </pivotField>
    <pivotField showAll="0">
      <items count="4">
        <item x="1"/>
        <item h="1" x="0"/>
        <item h="1" x="2"/>
        <item t="default"/>
      </items>
    </pivotField>
    <pivotField axis="axisRow" showAll="0">
      <items count="5">
        <item x="3"/>
        <item x="0"/>
        <item x="1"/>
        <item x="2"/>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3">
    <i>
      <x v="2"/>
    </i>
    <i>
      <x v="3"/>
    </i>
    <i t="grand">
      <x/>
    </i>
  </rowItems>
  <colItems count="1">
    <i/>
  </colItems>
  <dataFields count="1">
    <dataField name="Sum of Revenue" fld="7" baseField="0" baseItem="0"/>
  </dataFields>
  <formats count="1">
    <format dxfId="55">
      <pivotArea dataOnly="0"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D03F7-9B43-4131-A907-1E79BC9AC83F}"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M1:N12" firstHeaderRow="1" firstDataRow="1" firstDataCol="1"/>
  <pivotFields count="10">
    <pivotField showAll="0"/>
    <pivotField numFmtId="14" showAll="0">
      <items count="16">
        <item x="0"/>
        <item x="1"/>
        <item x="2"/>
        <item x="3"/>
        <item x="4"/>
        <item x="5"/>
        <item x="6"/>
        <item x="7"/>
        <item x="8"/>
        <item x="9"/>
        <item x="10"/>
        <item x="11"/>
        <item x="12"/>
        <item x="13"/>
        <item x="14"/>
        <item t="default"/>
      </items>
    </pivotField>
    <pivotField axis="axisRow" showAll="0">
      <items count="11">
        <item x="3"/>
        <item x="2"/>
        <item x="5"/>
        <item x="0"/>
        <item x="4"/>
        <item x="6"/>
        <item x="9"/>
        <item x="1"/>
        <item x="8"/>
        <item x="7"/>
        <item t="default"/>
      </items>
    </pivotField>
    <pivotField showAll="0">
      <items count="4">
        <item x="1"/>
        <item h="1" x="0"/>
        <item h="1" x="2"/>
        <item t="default"/>
      </items>
    </pivotField>
    <pivotField showAll="0">
      <items count="5">
        <item h="1" x="3"/>
        <item h="1" x="0"/>
        <item x="1"/>
        <item h="1" x="2"/>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formats count="6">
    <format dxfId="43">
      <pivotArea type="all" dataOnly="0" outline="0" fieldPosition="0"/>
    </format>
    <format dxfId="36">
      <pivotArea outline="0" collapsedLevelsAreSubtotals="1"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63FD5D-D394-4143-8E3B-BAAE983090DC}"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ate">
  <location ref="J8:K11" firstHeaderRow="1" firstDataRow="1" firstDataCol="1"/>
  <pivotFields count="10">
    <pivotField showAll="0"/>
    <pivotField axis="axisRow" numFmtId="14" showAll="0">
      <items count="16">
        <item x="0"/>
        <item x="1"/>
        <item x="2"/>
        <item x="3"/>
        <item x="4"/>
        <item x="5"/>
        <item x="6"/>
        <item x="7"/>
        <item x="8"/>
        <item x="9"/>
        <item x="10"/>
        <item x="11"/>
        <item x="12"/>
        <item x="13"/>
        <item x="14"/>
        <item t="default"/>
      </items>
    </pivotField>
    <pivotField showAll="0"/>
    <pivotField showAll="0">
      <items count="4">
        <item x="1"/>
        <item x="0"/>
        <item x="2"/>
        <item t="default"/>
      </items>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3">
    <i>
      <x v="1"/>
    </i>
    <i>
      <x v="2"/>
    </i>
    <i t="grand">
      <x/>
    </i>
  </rowItems>
  <colItems count="1">
    <i/>
  </colItems>
  <dataFields count="1">
    <dataField name="Sum of Revenue" fld="7" baseField="0" baseItem="0"/>
  </dataFields>
  <formats count="18">
    <format dxfId="161">
      <pivotArea type="all" dataOnly="0" outline="0" fieldPosition="0"/>
    </format>
    <format dxfId="160">
      <pivotArea outline="0" collapsedLevelsAreSubtotals="1" fieldPosition="0"/>
    </format>
    <format dxfId="159">
      <pivotArea field="9" type="button" dataOnly="0" labelOnly="1" outline="0" axis="axisRow" fieldPosition="0"/>
    </format>
    <format dxfId="158">
      <pivotArea dataOnly="0" labelOnly="1" fieldPosition="0">
        <references count="1">
          <reference field="9" count="2">
            <x v="1"/>
            <x v="2"/>
          </reference>
        </references>
      </pivotArea>
    </format>
    <format dxfId="157">
      <pivotArea dataOnly="0" labelOnly="1" grandRow="1" outline="0" fieldPosition="0"/>
    </format>
    <format dxfId="156">
      <pivotArea dataOnly="0" labelOnly="1" outline="0" axis="axisValues" fieldPosition="0"/>
    </format>
    <format dxfId="131">
      <pivotArea type="all" dataOnly="0" outline="0" fieldPosition="0"/>
    </format>
    <format dxfId="124">
      <pivotArea outline="0" collapsedLevelsAreSubtotals="1" fieldPosition="0"/>
    </format>
    <format dxfId="123">
      <pivotArea dataOnly="0" labelOnly="1" fieldPosition="0">
        <references count="1">
          <reference field="9" count="2">
            <x v="1"/>
            <x v="2"/>
          </reference>
        </references>
      </pivotArea>
    </format>
    <format dxfId="122">
      <pivotArea dataOnly="0" labelOnly="1" grandRow="1" outline="0" fieldPosition="0"/>
    </format>
    <format dxfId="121">
      <pivotArea dataOnly="0" labelOnly="1" outline="0" axis="axisValues" fieldPosition="0"/>
    </format>
    <format dxfId="86">
      <pivotArea type="all" dataOnly="0" outline="0" fieldPosition="0"/>
    </format>
    <format dxfId="87">
      <pivotArea outline="0" collapsedLevelsAreSubtotals="1" fieldPosition="0"/>
    </format>
    <format dxfId="88">
      <pivotArea field="9" type="button" dataOnly="0" labelOnly="1" outline="0" axis="axisRow" fieldPosition="0"/>
    </format>
    <format dxfId="89">
      <pivotArea dataOnly="0" labelOnly="1" fieldPosition="0">
        <references count="1">
          <reference field="9" count="2">
            <x v="1"/>
            <x v="2"/>
          </reference>
        </references>
      </pivotArea>
    </format>
    <format dxfId="90">
      <pivotArea dataOnly="0" labelOnly="1" grandRow="1" outline="0" fieldPosition="0"/>
    </format>
    <format dxfId="91">
      <pivotArea dataOnly="0" labelOnly="1" outline="0" axis="axisValues" fieldPosition="0"/>
    </format>
    <format dxfId="57">
      <pivotArea field="9" type="button" dataOnly="0" labelOnly="1" outline="0"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95DFB9-081A-4B95-A1CE-28F5353D7E81}" sourceName="Product">
  <pivotTables>
    <pivotTable tabId="1" name="PivotTable11"/>
  </pivotTables>
  <data>
    <tabular pivotCacheId="1043845324">
      <items count="10">
        <i x="2"/>
        <i x="5" s="1"/>
        <i x="6"/>
        <i x="3" nd="1"/>
        <i x="0" nd="1"/>
        <i x="4" nd="1"/>
        <i x="9" nd="1"/>
        <i x="1" nd="1"/>
        <i x="8"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8D0678-C4EA-4B26-A0CC-5B69C73CE3AB}" sourceName="Category">
  <pivotTables>
    <pivotTable tabId="1" name="PivotTable11"/>
  </pivotTables>
  <data>
    <tabular pivotCacheId="1043845324">
      <items count="3">
        <i x="1" s="1"/>
        <i x="0"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98A118-C790-4EA9-B5B9-DFEAD5079B1A}" sourceName="Region">
  <pivotTables>
    <pivotTable tabId="1" name="PivotTable11"/>
  </pivotTables>
  <data>
    <tabular pivotCacheId="1043845324">
      <items count="4">
        <i x="1" s="1"/>
        <i x="2" s="1"/>
        <i x="3"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A7C5D67-7E05-4060-B7EF-567E30ED33C7}" cache="Slicer_Product" caption="Product" rowHeight="234950"/>
  <slicer name="Category" xr10:uid="{E629F831-54B5-4251-98CD-ACF9FFD9F545}" cache="Slicer_Category" caption="Category" rowHeight="234950"/>
  <slicer name="Region" xr10:uid="{E3977EB1-3B0C-485E-ADB8-49414A9BD4E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B717E8-FB4E-419D-A9F1-BB6472DBE55E}" name="Table1" displayName="Table1" ref="A1:H16" totalsRowShown="0" headerRowDxfId="166" dataDxfId="167">
  <autoFilter ref="A1:H16" xr:uid="{99B717E8-FB4E-419D-A9F1-BB6472DBE55E}"/>
  <tableColumns count="8">
    <tableColumn id="1" xr3:uid="{6CB00983-22F2-4099-9820-5BCBC8AF475E}" name="Order ID" dataDxfId="175"/>
    <tableColumn id="2" xr3:uid="{53F46274-B862-4FAC-802F-AF3620EB7B31}" name="Date" dataDxfId="174"/>
    <tableColumn id="3" xr3:uid="{65CF03B5-490B-4E9A-B4E3-16A514A7E8BC}" name="Product" dataDxfId="173"/>
    <tableColumn id="4" xr3:uid="{59174AAC-274F-4FF7-8088-2430571AEA1B}" name="Category" dataDxfId="172"/>
    <tableColumn id="5" xr3:uid="{5146A895-39B5-4030-BC72-B642486C6683}" name="Region" dataDxfId="171"/>
    <tableColumn id="6" xr3:uid="{457C7FC2-6E7A-42FD-B00D-B51213E3B523}" name="Quantity" dataDxfId="170"/>
    <tableColumn id="7" xr3:uid="{F188677A-95B2-4A3A-B5DD-399FFCBBAD49}" name="Unit Price" dataDxfId="169"/>
    <tableColumn id="8" xr3:uid="{B22B8A3A-3F99-4C02-A7F2-C997F0E9768B}" name="Revenue" dataDxfId="16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E60928-BA5A-49F9-9153-70819F3350F3}" name="Table2" displayName="Table2" ref="J1:K6" totalsRowShown="0" headerRowDxfId="163" dataDxfId="162">
  <autoFilter ref="J1:K6" xr:uid="{DEE60928-BA5A-49F9-9153-70819F3350F3}"/>
  <tableColumns count="2">
    <tableColumn id="1" xr3:uid="{B7E9246F-F067-41EC-B97B-D3252B362F97}" name="total sale " dataDxfId="165"/>
    <tableColumn id="2" xr3:uid="{E4B8861F-33EE-4D9B-B8D9-6EBCB2AFC9F7}" name="total value" dataDxfId="16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2AC6-6F23-49AA-B77E-2283DF5C2A4F}">
  <dimension ref="A1:AE72"/>
  <sheetViews>
    <sheetView tabSelected="1" zoomScale="55" zoomScaleNormal="55" workbookViewId="0">
      <selection activeCell="M43" sqref="M43"/>
    </sheetView>
  </sheetViews>
  <sheetFormatPr defaultRowHeight="14.4" x14ac:dyDescent="0.3"/>
  <cols>
    <col min="1" max="1" width="13.88671875" customWidth="1"/>
    <col min="2" max="2" width="18.44140625" bestFit="1" customWidth="1"/>
    <col min="3" max="3" width="20.109375" bestFit="1" customWidth="1"/>
    <col min="4" max="4" width="18.44140625" bestFit="1" customWidth="1"/>
    <col min="5" max="5" width="21.77734375" bestFit="1" customWidth="1"/>
    <col min="6" max="6" width="18.44140625" bestFit="1" customWidth="1"/>
    <col min="7" max="7" width="20.109375" bestFit="1" customWidth="1"/>
    <col min="8" max="8" width="19.44140625" customWidth="1"/>
    <col min="10" max="10" width="18.44140625" bestFit="1" customWidth="1"/>
    <col min="11" max="11" width="16.109375" style="5" customWidth="1"/>
    <col min="12" max="12" width="12" style="5" customWidth="1"/>
    <col min="13" max="13" width="17.88671875" customWidth="1"/>
    <col min="14" max="14" width="23.33203125" style="10" customWidth="1"/>
    <col min="15" max="15" width="11.6640625" style="10" bestFit="1" customWidth="1"/>
    <col min="16" max="16" width="8.6640625" customWidth="1"/>
    <col min="17" max="17" width="18.44140625" bestFit="1" customWidth="1"/>
    <col min="18" max="18" width="20.109375" bestFit="1" customWidth="1"/>
    <col min="19" max="19" width="24.88671875" customWidth="1"/>
    <col min="20" max="20" width="18.44140625" bestFit="1" customWidth="1"/>
    <col min="21" max="21" width="20.109375" bestFit="1" customWidth="1"/>
  </cols>
  <sheetData>
    <row r="1" spans="1:22" x14ac:dyDescent="0.3">
      <c r="A1" s="1" t="s">
        <v>0</v>
      </c>
      <c r="B1" s="1" t="s">
        <v>1</v>
      </c>
      <c r="C1" s="1" t="s">
        <v>2</v>
      </c>
      <c r="D1" s="1" t="s">
        <v>3</v>
      </c>
      <c r="E1" s="1" t="s">
        <v>4</v>
      </c>
      <c r="F1" s="1" t="s">
        <v>5</v>
      </c>
      <c r="G1" s="1" t="s">
        <v>6</v>
      </c>
      <c r="H1" s="1" t="s">
        <v>7</v>
      </c>
      <c r="J1" s="5" t="s">
        <v>30</v>
      </c>
      <c r="K1" s="5" t="s">
        <v>31</v>
      </c>
      <c r="M1" s="18" t="s">
        <v>36</v>
      </c>
      <c r="N1" s="19" t="s">
        <v>35</v>
      </c>
      <c r="O1" s="21"/>
    </row>
    <row r="2" spans="1:22" x14ac:dyDescent="0.3">
      <c r="A2" s="2">
        <v>1001</v>
      </c>
      <c r="B2" s="3">
        <v>45662</v>
      </c>
      <c r="C2" s="2" t="s">
        <v>8</v>
      </c>
      <c r="D2" s="2" t="s">
        <v>9</v>
      </c>
      <c r="E2" s="2" t="s">
        <v>10</v>
      </c>
      <c r="F2" s="2">
        <v>2</v>
      </c>
      <c r="G2" s="2">
        <v>55000</v>
      </c>
      <c r="H2" s="2">
        <v>110000</v>
      </c>
      <c r="J2" s="5" t="s">
        <v>29</v>
      </c>
      <c r="K2" s="5">
        <f>SUM(H:H)</f>
        <v>417300</v>
      </c>
      <c r="M2" s="5" t="s">
        <v>16</v>
      </c>
      <c r="N2" s="20">
        <v>24000</v>
      </c>
      <c r="O2" s="9"/>
    </row>
    <row r="3" spans="1:22" x14ac:dyDescent="0.3">
      <c r="A3" s="2">
        <v>1002</v>
      </c>
      <c r="B3" s="3">
        <v>45664</v>
      </c>
      <c r="C3" s="2" t="s">
        <v>11</v>
      </c>
      <c r="D3" s="2" t="s">
        <v>9</v>
      </c>
      <c r="E3" s="2" t="s">
        <v>12</v>
      </c>
      <c r="F3" s="2">
        <v>3</v>
      </c>
      <c r="G3" s="2">
        <v>20000</v>
      </c>
      <c r="H3" s="2">
        <v>60000</v>
      </c>
      <c r="J3" s="5" t="s">
        <v>28</v>
      </c>
      <c r="K3" s="5">
        <f>F2*G2</f>
        <v>110000</v>
      </c>
      <c r="M3" s="5" t="s">
        <v>13</v>
      </c>
      <c r="N3" s="20">
        <v>10000</v>
      </c>
      <c r="S3" s="15"/>
      <c r="T3" s="15"/>
      <c r="U3" s="15"/>
    </row>
    <row r="4" spans="1:22" x14ac:dyDescent="0.3">
      <c r="A4" s="2">
        <v>1003</v>
      </c>
      <c r="B4" s="3">
        <v>45665</v>
      </c>
      <c r="C4" s="2" t="s">
        <v>13</v>
      </c>
      <c r="D4" s="2" t="s">
        <v>14</v>
      </c>
      <c r="E4" s="2" t="s">
        <v>15</v>
      </c>
      <c r="F4" s="2">
        <v>5</v>
      </c>
      <c r="G4" s="2">
        <v>2000</v>
      </c>
      <c r="H4" s="2">
        <v>10000</v>
      </c>
      <c r="J4" s="5" t="s">
        <v>27</v>
      </c>
      <c r="K4" s="5">
        <f>SUM(F:F)</f>
        <v>36</v>
      </c>
      <c r="M4" s="5" t="s">
        <v>20</v>
      </c>
      <c r="N4" s="20">
        <v>7500</v>
      </c>
      <c r="T4" s="15"/>
      <c r="U4" s="15"/>
    </row>
    <row r="5" spans="1:22" x14ac:dyDescent="0.3">
      <c r="A5" s="2">
        <v>1004</v>
      </c>
      <c r="B5" s="3">
        <v>45667</v>
      </c>
      <c r="C5" s="2" t="s">
        <v>16</v>
      </c>
      <c r="D5" s="2" t="s">
        <v>17</v>
      </c>
      <c r="E5" s="2" t="s">
        <v>18</v>
      </c>
      <c r="F5" s="2">
        <v>1</v>
      </c>
      <c r="G5" s="2">
        <v>8000</v>
      </c>
      <c r="H5" s="2">
        <v>8000</v>
      </c>
      <c r="J5" s="5" t="s">
        <v>26</v>
      </c>
      <c r="K5" s="5">
        <f>AVERAGE(H:H)</f>
        <v>27820</v>
      </c>
      <c r="M5" s="5" t="s">
        <v>8</v>
      </c>
      <c r="N5" s="20">
        <v>165000</v>
      </c>
      <c r="T5" s="15"/>
      <c r="U5" s="15"/>
    </row>
    <row r="6" spans="1:22" x14ac:dyDescent="0.3">
      <c r="A6" s="2">
        <v>1005</v>
      </c>
      <c r="B6" s="3">
        <v>45669</v>
      </c>
      <c r="C6" s="2" t="s">
        <v>19</v>
      </c>
      <c r="D6" s="2" t="s">
        <v>9</v>
      </c>
      <c r="E6" s="2" t="s">
        <v>10</v>
      </c>
      <c r="F6" s="2">
        <v>2</v>
      </c>
      <c r="G6" s="2">
        <v>12000</v>
      </c>
      <c r="H6" s="2">
        <v>24000</v>
      </c>
      <c r="J6" s="5" t="s">
        <v>25</v>
      </c>
      <c r="K6" s="5">
        <f>MAX(H:H)</f>
        <v>110000</v>
      </c>
      <c r="M6" s="5" t="s">
        <v>19</v>
      </c>
      <c r="N6" s="20">
        <v>36000</v>
      </c>
      <c r="U6" s="15"/>
    </row>
    <row r="7" spans="1:22" x14ac:dyDescent="0.3">
      <c r="A7" s="2">
        <v>1006</v>
      </c>
      <c r="B7" s="3">
        <v>45672</v>
      </c>
      <c r="C7" s="2" t="s">
        <v>20</v>
      </c>
      <c r="D7" s="2" t="s">
        <v>14</v>
      </c>
      <c r="E7" s="2" t="s">
        <v>12</v>
      </c>
      <c r="F7" s="2">
        <v>4</v>
      </c>
      <c r="G7" s="2">
        <v>1500</v>
      </c>
      <c r="H7" s="2">
        <v>6000</v>
      </c>
      <c r="J7" s="5"/>
      <c r="M7" s="5" t="s">
        <v>21</v>
      </c>
      <c r="N7" s="20">
        <v>4800</v>
      </c>
      <c r="P7" s="7"/>
      <c r="U7" s="17"/>
      <c r="V7" s="7"/>
    </row>
    <row r="8" spans="1:22" ht="28.8" x14ac:dyDescent="0.3">
      <c r="A8" s="2">
        <v>1007</v>
      </c>
      <c r="B8" s="3">
        <v>45675</v>
      </c>
      <c r="C8" s="2" t="s">
        <v>21</v>
      </c>
      <c r="D8" s="2" t="s">
        <v>14</v>
      </c>
      <c r="E8" s="2" t="s">
        <v>15</v>
      </c>
      <c r="F8" s="2">
        <v>6</v>
      </c>
      <c r="G8" s="2">
        <v>800</v>
      </c>
      <c r="H8" s="2">
        <v>4800</v>
      </c>
      <c r="I8" s="16"/>
      <c r="J8" s="12" t="s">
        <v>1</v>
      </c>
      <c r="K8" s="13" t="s">
        <v>35</v>
      </c>
      <c r="M8" s="5" t="s">
        <v>24</v>
      </c>
      <c r="N8" s="20">
        <v>9000</v>
      </c>
      <c r="O8" s="19"/>
      <c r="P8" s="7"/>
      <c r="U8" s="17"/>
      <c r="V8" s="7"/>
    </row>
    <row r="9" spans="1:22" x14ac:dyDescent="0.3">
      <c r="A9" s="2">
        <v>1008</v>
      </c>
      <c r="B9" s="3">
        <v>45677</v>
      </c>
      <c r="C9" s="2" t="s">
        <v>22</v>
      </c>
      <c r="D9" s="2" t="s">
        <v>9</v>
      </c>
      <c r="E9" s="2" t="s">
        <v>18</v>
      </c>
      <c r="F9" s="2">
        <v>2</v>
      </c>
      <c r="G9" s="2">
        <v>18000</v>
      </c>
      <c r="H9" s="2">
        <v>36000</v>
      </c>
      <c r="I9" s="16"/>
      <c r="J9" s="13" t="s">
        <v>33</v>
      </c>
      <c r="K9" s="14">
        <v>292800</v>
      </c>
      <c r="M9" s="5" t="s">
        <v>11</v>
      </c>
      <c r="N9" s="20">
        <v>100000</v>
      </c>
      <c r="O9" s="19"/>
      <c r="P9" s="7"/>
      <c r="U9" s="17"/>
      <c r="V9" s="7"/>
    </row>
    <row r="10" spans="1:22" x14ac:dyDescent="0.3">
      <c r="A10" s="2">
        <v>1009</v>
      </c>
      <c r="B10" s="3">
        <v>45679</v>
      </c>
      <c r="C10" s="2" t="s">
        <v>23</v>
      </c>
      <c r="D10" s="2" t="s">
        <v>17</v>
      </c>
      <c r="E10" s="2" t="s">
        <v>10</v>
      </c>
      <c r="F10" s="2">
        <v>1</v>
      </c>
      <c r="G10" s="2">
        <v>25000</v>
      </c>
      <c r="H10" s="2">
        <v>25000</v>
      </c>
      <c r="I10" s="16"/>
      <c r="J10" s="13" t="s">
        <v>34</v>
      </c>
      <c r="K10" s="14">
        <v>124500</v>
      </c>
      <c r="M10" s="5" t="s">
        <v>23</v>
      </c>
      <c r="N10" s="20">
        <v>25000</v>
      </c>
      <c r="O10" s="19"/>
      <c r="P10" s="7"/>
      <c r="T10" s="15"/>
      <c r="U10" s="17"/>
      <c r="V10" s="7"/>
    </row>
    <row r="11" spans="1:22" x14ac:dyDescent="0.3">
      <c r="A11" s="2">
        <v>1010</v>
      </c>
      <c r="B11" s="3">
        <v>45682</v>
      </c>
      <c r="C11" s="2" t="s">
        <v>24</v>
      </c>
      <c r="D11" s="2" t="s">
        <v>9</v>
      </c>
      <c r="E11" s="2" t="s">
        <v>12</v>
      </c>
      <c r="F11" s="2">
        <v>1</v>
      </c>
      <c r="G11" s="2">
        <v>9000</v>
      </c>
      <c r="H11" s="2">
        <v>9000</v>
      </c>
      <c r="I11" s="16"/>
      <c r="J11" s="13" t="s">
        <v>32</v>
      </c>
      <c r="K11" s="14">
        <v>417300</v>
      </c>
      <c r="M11" s="5" t="s">
        <v>22</v>
      </c>
      <c r="N11" s="20">
        <v>36000</v>
      </c>
      <c r="O11" s="19"/>
      <c r="P11" s="7"/>
      <c r="T11" s="15"/>
      <c r="U11" s="17"/>
      <c r="V11" s="7"/>
    </row>
    <row r="12" spans="1:22" x14ac:dyDescent="0.3">
      <c r="A12" s="2">
        <v>1011</v>
      </c>
      <c r="B12" s="3">
        <v>45690</v>
      </c>
      <c r="C12" s="2" t="s">
        <v>8</v>
      </c>
      <c r="D12" s="2" t="s">
        <v>9</v>
      </c>
      <c r="E12" s="2" t="s">
        <v>15</v>
      </c>
      <c r="F12" s="2">
        <v>1</v>
      </c>
      <c r="G12" s="2">
        <v>55000</v>
      </c>
      <c r="H12" s="2">
        <v>55000</v>
      </c>
      <c r="K12"/>
      <c r="M12" s="5" t="s">
        <v>32</v>
      </c>
      <c r="N12" s="20">
        <v>417300</v>
      </c>
      <c r="O12" s="19"/>
      <c r="P12" s="7"/>
      <c r="T12" s="15"/>
      <c r="U12" s="17"/>
      <c r="V12" s="7"/>
    </row>
    <row r="13" spans="1:22" x14ac:dyDescent="0.3">
      <c r="A13" s="2">
        <v>1012</v>
      </c>
      <c r="B13" s="3">
        <v>45693</v>
      </c>
      <c r="C13" s="2" t="s">
        <v>11</v>
      </c>
      <c r="D13" s="2" t="s">
        <v>9</v>
      </c>
      <c r="E13" s="2" t="s">
        <v>18</v>
      </c>
      <c r="F13" s="2">
        <v>2</v>
      </c>
      <c r="G13" s="2">
        <v>20000</v>
      </c>
      <c r="H13" s="2">
        <v>40000</v>
      </c>
      <c r="N13"/>
      <c r="O13"/>
      <c r="P13" s="7"/>
      <c r="Q13" s="15"/>
      <c r="R13" s="15"/>
      <c r="T13" s="15"/>
      <c r="U13" s="17"/>
      <c r="V13" s="7"/>
    </row>
    <row r="14" spans="1:22" ht="28.8" x14ac:dyDescent="0.3">
      <c r="A14" s="2">
        <v>1013</v>
      </c>
      <c r="B14" s="3">
        <v>45696</v>
      </c>
      <c r="C14" s="2" t="s">
        <v>16</v>
      </c>
      <c r="D14" s="2" t="s">
        <v>17</v>
      </c>
      <c r="E14" s="2" t="s">
        <v>10</v>
      </c>
      <c r="F14" s="2">
        <v>2</v>
      </c>
      <c r="G14" s="2">
        <v>8000</v>
      </c>
      <c r="H14" s="2">
        <v>16000</v>
      </c>
      <c r="I14" s="5"/>
      <c r="J14" s="4" t="s">
        <v>4</v>
      </c>
      <c r="K14" s="15" t="s">
        <v>35</v>
      </c>
      <c r="O14"/>
      <c r="P14" s="7"/>
      <c r="Q14" s="17"/>
      <c r="T14" s="15"/>
      <c r="U14" s="17"/>
      <c r="V14" s="7"/>
    </row>
    <row r="15" spans="1:22" x14ac:dyDescent="0.3">
      <c r="A15" s="2">
        <v>1014</v>
      </c>
      <c r="B15" s="3">
        <v>45698</v>
      </c>
      <c r="C15" s="2" t="s">
        <v>19</v>
      </c>
      <c r="D15" s="2" t="s">
        <v>9</v>
      </c>
      <c r="E15" s="2" t="s">
        <v>12</v>
      </c>
      <c r="F15" s="2">
        <v>1</v>
      </c>
      <c r="G15" s="2">
        <v>12000</v>
      </c>
      <c r="H15" s="2">
        <v>12000</v>
      </c>
      <c r="I15" s="5"/>
      <c r="J15" s="5" t="s">
        <v>12</v>
      </c>
      <c r="K15" s="6">
        <v>6000</v>
      </c>
      <c r="O15"/>
      <c r="P15" s="7"/>
      <c r="Q15" s="17"/>
      <c r="T15" s="15"/>
      <c r="U15" s="17"/>
      <c r="V15" s="7"/>
    </row>
    <row r="16" spans="1:22" x14ac:dyDescent="0.3">
      <c r="A16" s="2">
        <v>1015</v>
      </c>
      <c r="B16" s="3">
        <v>45700</v>
      </c>
      <c r="C16" s="2" t="s">
        <v>20</v>
      </c>
      <c r="D16" s="2" t="s">
        <v>14</v>
      </c>
      <c r="E16" s="2" t="s">
        <v>15</v>
      </c>
      <c r="F16" s="2">
        <v>3</v>
      </c>
      <c r="G16" s="2">
        <v>1500</v>
      </c>
      <c r="H16" s="2">
        <v>1500</v>
      </c>
      <c r="I16" s="5"/>
      <c r="J16" s="5" t="s">
        <v>15</v>
      </c>
      <c r="K16" s="6">
        <v>1500</v>
      </c>
      <c r="O16"/>
      <c r="P16" s="7"/>
      <c r="Q16" s="17"/>
      <c r="T16" s="15"/>
      <c r="U16" s="17"/>
      <c r="V16" s="7"/>
    </row>
    <row r="17" spans="10:22" x14ac:dyDescent="0.3">
      <c r="J17" s="5" t="s">
        <v>32</v>
      </c>
      <c r="K17" s="6">
        <v>7500</v>
      </c>
      <c r="N17"/>
      <c r="P17" s="7"/>
      <c r="Q17" s="17"/>
      <c r="R17" s="15"/>
      <c r="S17" s="15"/>
      <c r="T17" s="15"/>
      <c r="U17" s="17"/>
      <c r="V17" s="7"/>
    </row>
    <row r="18" spans="10:22" x14ac:dyDescent="0.3">
      <c r="P18" s="7"/>
      <c r="Q18" s="17"/>
      <c r="R18" s="15"/>
      <c r="S18" s="15"/>
      <c r="T18" s="15"/>
      <c r="U18" s="17"/>
      <c r="V18" s="7"/>
    </row>
    <row r="19" spans="10:22" x14ac:dyDescent="0.3">
      <c r="P19" s="7"/>
      <c r="Q19" s="7"/>
      <c r="U19" s="7"/>
      <c r="V19" s="7"/>
    </row>
    <row r="20" spans="10:22" x14ac:dyDescent="0.3">
      <c r="P20" s="7"/>
      <c r="Q20" s="7"/>
      <c r="U20" s="7"/>
      <c r="V20" s="7"/>
    </row>
    <row r="21" spans="10:22" x14ac:dyDescent="0.3">
      <c r="P21" s="7"/>
      <c r="Q21" s="7"/>
      <c r="U21" s="7"/>
      <c r="V21" s="7"/>
    </row>
    <row r="22" spans="10:22" x14ac:dyDescent="0.3">
      <c r="P22" s="7"/>
      <c r="Q22" s="7"/>
      <c r="R22" s="7"/>
      <c r="S22" s="7"/>
      <c r="T22" s="7"/>
      <c r="U22" s="7"/>
      <c r="V22" s="7"/>
    </row>
    <row r="23" spans="10:22" x14ac:dyDescent="0.3">
      <c r="P23" s="7"/>
      <c r="Q23" s="7"/>
      <c r="R23" s="7"/>
      <c r="S23" s="7"/>
      <c r="T23" s="7"/>
      <c r="U23" s="7"/>
      <c r="V23" s="7"/>
    </row>
    <row r="33" spans="2:29" x14ac:dyDescent="0.3">
      <c r="G33" s="7"/>
      <c r="H33" s="7"/>
      <c r="I33" s="7"/>
      <c r="J33" s="7"/>
      <c r="K33" s="8"/>
      <c r="L33" s="8"/>
      <c r="M33" s="7"/>
      <c r="N33" s="11"/>
      <c r="O33" s="11"/>
      <c r="P33" s="7"/>
      <c r="Q33" s="7"/>
      <c r="Y33" s="7"/>
      <c r="Z33" s="7"/>
      <c r="AA33" s="7"/>
      <c r="AB33" s="7"/>
      <c r="AC33" s="7"/>
    </row>
    <row r="34" spans="2:29" x14ac:dyDescent="0.3">
      <c r="H34" s="7"/>
      <c r="I34" s="7"/>
      <c r="J34" s="7"/>
      <c r="K34" s="8"/>
      <c r="L34" s="8"/>
      <c r="M34" s="7"/>
      <c r="N34" s="11"/>
      <c r="O34" s="11"/>
      <c r="Y34" s="7"/>
      <c r="Z34" s="7"/>
      <c r="AA34" s="7"/>
      <c r="AB34" s="7"/>
      <c r="AC34" s="7"/>
    </row>
    <row r="35" spans="2:29" x14ac:dyDescent="0.3">
      <c r="H35" s="7"/>
      <c r="I35" s="7"/>
      <c r="J35" s="7"/>
      <c r="K35" s="8"/>
      <c r="L35" s="8"/>
      <c r="M35" s="7"/>
      <c r="N35" s="11"/>
      <c r="O35" s="11"/>
      <c r="Y35" s="7"/>
      <c r="Z35" s="7"/>
      <c r="AA35" s="7"/>
      <c r="AB35" s="7"/>
      <c r="AC35" s="7"/>
    </row>
    <row r="36" spans="2:29" x14ac:dyDescent="0.3">
      <c r="I36" s="7"/>
      <c r="J36" s="7"/>
      <c r="K36" s="8"/>
      <c r="L36" s="8"/>
      <c r="M36" s="7"/>
      <c r="N36" s="11"/>
      <c r="O36" s="11"/>
      <c r="Y36" s="7"/>
      <c r="Z36" s="7"/>
      <c r="AA36" s="7"/>
      <c r="AB36" s="7"/>
      <c r="AC36" s="7"/>
    </row>
    <row r="37" spans="2:29" x14ac:dyDescent="0.3">
      <c r="I37" s="7"/>
      <c r="J37" s="7"/>
      <c r="K37" s="8"/>
      <c r="L37" s="8"/>
      <c r="M37" s="7"/>
      <c r="N37" s="11"/>
      <c r="O37" s="11"/>
      <c r="T37" s="15"/>
      <c r="Y37" s="7"/>
      <c r="Z37" s="7"/>
      <c r="AA37" s="7"/>
      <c r="AB37" s="7"/>
      <c r="AC37" s="7"/>
    </row>
    <row r="38" spans="2:29" x14ac:dyDescent="0.3">
      <c r="I38" s="7"/>
      <c r="J38" s="7"/>
      <c r="K38" s="8"/>
      <c r="L38" s="8"/>
      <c r="M38" s="7"/>
      <c r="N38" s="11"/>
      <c r="O38" s="11"/>
      <c r="P38" s="7"/>
      <c r="Q38" s="7"/>
      <c r="Y38" s="7"/>
      <c r="Z38" s="7"/>
      <c r="AA38" s="7"/>
      <c r="AB38" s="7"/>
      <c r="AC38" s="7"/>
    </row>
    <row r="39" spans="2:29" x14ac:dyDescent="0.3">
      <c r="B39" s="7"/>
      <c r="I39" s="7"/>
      <c r="J39" s="7"/>
      <c r="K39" s="8"/>
      <c r="L39" s="8"/>
      <c r="M39" s="7"/>
      <c r="N39" s="11"/>
      <c r="O39" s="11"/>
      <c r="P39" s="7"/>
      <c r="Q39" s="7"/>
      <c r="Y39" s="7"/>
      <c r="Z39" s="7"/>
      <c r="AA39" s="7"/>
      <c r="AB39" s="7"/>
      <c r="AC39" s="7"/>
    </row>
    <row r="40" spans="2:29" x14ac:dyDescent="0.3">
      <c r="B40" s="7"/>
      <c r="I40" s="7"/>
      <c r="J40" s="7"/>
      <c r="K40" s="8"/>
      <c r="L40" s="8"/>
      <c r="M40" s="7"/>
      <c r="N40" s="11"/>
      <c r="O40" s="11"/>
      <c r="P40" s="7"/>
      <c r="Q40" s="7"/>
      <c r="Y40" s="7"/>
      <c r="Z40" s="7"/>
      <c r="AA40" s="7"/>
      <c r="AB40" s="7"/>
      <c r="AC40" s="7"/>
    </row>
    <row r="41" spans="2:29" x14ac:dyDescent="0.3">
      <c r="B41" s="7"/>
      <c r="I41" s="7"/>
      <c r="J41" s="7"/>
      <c r="K41" s="8"/>
      <c r="L41" s="8"/>
      <c r="M41" s="7"/>
      <c r="N41" s="11"/>
      <c r="O41" s="11"/>
      <c r="P41" s="7"/>
      <c r="Q41" s="7"/>
      <c r="Y41" s="7"/>
      <c r="Z41" s="7"/>
      <c r="AA41" s="7"/>
      <c r="AB41" s="7"/>
      <c r="AC41" s="7"/>
    </row>
    <row r="42" spans="2:29" x14ac:dyDescent="0.3">
      <c r="B42" s="7"/>
      <c r="I42" s="7"/>
      <c r="J42" s="7"/>
      <c r="K42" s="8"/>
      <c r="L42" s="8"/>
      <c r="M42" s="7"/>
      <c r="N42" s="11"/>
      <c r="O42" s="11"/>
      <c r="P42" s="7"/>
      <c r="Q42" s="7"/>
      <c r="Y42" s="7"/>
      <c r="Z42" s="7"/>
      <c r="AA42" s="7"/>
      <c r="AB42" s="7"/>
      <c r="AC42" s="7"/>
    </row>
    <row r="43" spans="2:29" x14ac:dyDescent="0.3">
      <c r="B43" s="7"/>
      <c r="I43" s="7"/>
      <c r="J43" s="7"/>
      <c r="K43" s="8"/>
      <c r="L43" s="8"/>
      <c r="M43" s="7"/>
      <c r="N43" s="11"/>
      <c r="O43" s="11"/>
      <c r="P43" s="7"/>
      <c r="Q43" s="7"/>
      <c r="Y43" s="7"/>
      <c r="Z43" s="7"/>
      <c r="AA43" s="7"/>
      <c r="AB43" s="7"/>
      <c r="AC43" s="7"/>
    </row>
    <row r="44" spans="2:29" x14ac:dyDescent="0.3">
      <c r="B44" s="7"/>
      <c r="I44" s="7"/>
      <c r="J44" s="7"/>
      <c r="K44" s="8"/>
      <c r="L44" s="8"/>
      <c r="M44" s="7"/>
      <c r="N44" s="11"/>
      <c r="O44" s="11"/>
      <c r="P44" s="7"/>
      <c r="Q44" s="7"/>
      <c r="Y44" s="7"/>
      <c r="Z44" s="7"/>
      <c r="AA44" s="7"/>
      <c r="AB44" s="7"/>
      <c r="AC44" s="7"/>
    </row>
    <row r="45" spans="2:29" x14ac:dyDescent="0.3">
      <c r="B45" s="7"/>
      <c r="I45" s="7"/>
      <c r="J45" s="7"/>
      <c r="K45" s="8"/>
      <c r="L45" s="8"/>
      <c r="M45" s="7"/>
      <c r="N45" s="11"/>
      <c r="O45" s="11"/>
      <c r="P45" s="7"/>
      <c r="Q45" s="7"/>
      <c r="Y45" s="7"/>
      <c r="Z45" s="7"/>
      <c r="AA45" s="7"/>
      <c r="AB45" s="7"/>
      <c r="AC45" s="7"/>
    </row>
    <row r="46" spans="2:29" x14ac:dyDescent="0.3">
      <c r="B46" s="7"/>
      <c r="I46" s="7"/>
      <c r="J46" s="7"/>
      <c r="K46" s="8"/>
      <c r="L46" s="8"/>
      <c r="M46" s="7"/>
      <c r="N46" s="11"/>
      <c r="O46" s="11"/>
      <c r="P46" s="7"/>
      <c r="Q46" s="7"/>
      <c r="Y46" s="7"/>
      <c r="Z46" s="7"/>
      <c r="AA46" s="7"/>
      <c r="AB46" s="7"/>
      <c r="AC46" s="7"/>
    </row>
    <row r="47" spans="2:29" x14ac:dyDescent="0.3">
      <c r="B47" s="7"/>
      <c r="I47" s="7"/>
      <c r="J47" s="7"/>
      <c r="K47" s="8"/>
      <c r="L47" s="8"/>
      <c r="M47" s="7"/>
      <c r="N47" s="11"/>
      <c r="O47" s="11"/>
      <c r="P47" s="7"/>
      <c r="Q47" s="7"/>
      <c r="Y47" s="7"/>
      <c r="Z47" s="7"/>
      <c r="AA47" s="7"/>
      <c r="AB47" s="7"/>
      <c r="AC47" s="7"/>
    </row>
    <row r="48" spans="2:29" x14ac:dyDescent="0.3">
      <c r="B48" s="7"/>
      <c r="I48" s="7"/>
      <c r="J48" s="7"/>
      <c r="K48" s="8"/>
      <c r="L48" s="8"/>
      <c r="M48" s="7"/>
      <c r="N48" s="11"/>
      <c r="O48" s="11"/>
      <c r="P48" s="7"/>
      <c r="Q48" s="7"/>
      <c r="Y48" s="7"/>
      <c r="Z48" s="7"/>
      <c r="AA48" s="7"/>
      <c r="AB48" s="7"/>
      <c r="AC48" s="7"/>
    </row>
    <row r="49" spans="2:29" x14ac:dyDescent="0.3">
      <c r="B49" s="7"/>
      <c r="I49" s="7"/>
      <c r="J49" s="7"/>
      <c r="K49" s="8"/>
      <c r="L49" s="8"/>
      <c r="M49" s="7"/>
      <c r="N49" s="11"/>
      <c r="O49" s="11"/>
      <c r="P49" s="7"/>
      <c r="Q49" s="7"/>
      <c r="Y49" s="7"/>
      <c r="Z49" s="7"/>
      <c r="AA49" s="7"/>
      <c r="AB49" s="7"/>
      <c r="AC49" s="7"/>
    </row>
    <row r="50" spans="2:29" x14ac:dyDescent="0.3">
      <c r="B50" s="7"/>
      <c r="I50" s="7"/>
      <c r="J50" s="7"/>
      <c r="K50" s="8"/>
      <c r="L50" s="8"/>
      <c r="M50" s="7"/>
      <c r="N50" s="11"/>
      <c r="O50" s="11"/>
      <c r="P50" s="7"/>
      <c r="Q50" s="7"/>
      <c r="R50" s="7"/>
      <c r="S50" s="7"/>
      <c r="T50" s="7"/>
      <c r="U50" s="7"/>
      <c r="V50" s="7"/>
      <c r="W50" s="7"/>
      <c r="X50" s="7"/>
      <c r="Y50" s="7"/>
      <c r="Z50" s="7"/>
      <c r="AA50" s="7"/>
      <c r="AB50" s="7"/>
      <c r="AC50" s="7"/>
    </row>
    <row r="51" spans="2:29" x14ac:dyDescent="0.3">
      <c r="B51" s="7"/>
      <c r="I51" s="7"/>
      <c r="J51" s="7"/>
      <c r="K51" s="8"/>
      <c r="L51" s="8"/>
      <c r="M51" s="7"/>
      <c r="N51" s="11"/>
      <c r="O51" s="11"/>
      <c r="P51" s="7"/>
      <c r="Q51" s="7"/>
      <c r="R51" s="7"/>
      <c r="S51" s="7"/>
      <c r="T51" s="7"/>
      <c r="U51" s="7"/>
      <c r="V51" s="7"/>
      <c r="W51" s="7"/>
      <c r="X51" s="7"/>
      <c r="Y51" s="7"/>
      <c r="Z51" s="7"/>
      <c r="AA51" s="7"/>
      <c r="AB51" s="7"/>
      <c r="AC51" s="7"/>
    </row>
    <row r="52" spans="2:29" x14ac:dyDescent="0.3">
      <c r="B52" s="7"/>
      <c r="I52" s="7"/>
      <c r="J52" s="7"/>
      <c r="K52" s="8"/>
      <c r="L52" s="8"/>
      <c r="M52" s="7"/>
      <c r="N52" s="11"/>
      <c r="O52" s="11"/>
      <c r="P52" s="7"/>
      <c r="Q52" s="7"/>
      <c r="R52" s="7"/>
      <c r="S52" s="7"/>
      <c r="T52" s="7"/>
      <c r="U52" s="7"/>
      <c r="V52" s="7"/>
      <c r="W52" s="7"/>
      <c r="X52" s="7"/>
      <c r="Y52" s="7"/>
      <c r="Z52" s="7"/>
      <c r="AA52" s="7"/>
      <c r="AB52" s="7"/>
      <c r="AC52" s="7"/>
    </row>
    <row r="53" spans="2:29" x14ac:dyDescent="0.3">
      <c r="B53" s="7"/>
      <c r="I53" s="7"/>
      <c r="J53" s="7"/>
      <c r="K53" s="8"/>
      <c r="L53" s="8"/>
      <c r="M53" s="7"/>
      <c r="N53" s="11"/>
      <c r="O53" s="11"/>
      <c r="P53" s="7"/>
      <c r="Q53" s="7"/>
      <c r="R53" s="7"/>
      <c r="S53" s="7"/>
      <c r="T53" s="7"/>
      <c r="U53" s="7"/>
      <c r="V53" s="7"/>
      <c r="W53" s="7"/>
      <c r="X53" s="7"/>
      <c r="Y53" s="7"/>
      <c r="Z53" s="7"/>
      <c r="AA53" s="7"/>
      <c r="AB53" s="7"/>
      <c r="AC53" s="7"/>
    </row>
    <row r="54" spans="2:29" x14ac:dyDescent="0.3">
      <c r="B54" s="7"/>
      <c r="F54" s="7"/>
      <c r="G54" s="7"/>
      <c r="H54" s="7"/>
      <c r="I54" s="7"/>
      <c r="J54" s="7"/>
      <c r="K54" s="8"/>
      <c r="L54" s="8"/>
      <c r="M54" s="7"/>
      <c r="N54" s="11"/>
      <c r="O54" s="11"/>
      <c r="P54" s="7"/>
      <c r="Q54" s="7"/>
      <c r="R54" s="7"/>
      <c r="S54" s="7"/>
      <c r="T54" s="7"/>
      <c r="U54" s="7"/>
      <c r="V54" s="7"/>
      <c r="W54" s="7"/>
      <c r="X54" s="7"/>
      <c r="Y54" s="7"/>
      <c r="Z54" s="7"/>
      <c r="AA54" s="7"/>
      <c r="AB54" s="7"/>
      <c r="AC54" s="7"/>
    </row>
    <row r="55" spans="2:29" x14ac:dyDescent="0.3">
      <c r="B55" s="7"/>
      <c r="F55" s="7"/>
      <c r="G55" s="7"/>
      <c r="H55" s="7"/>
      <c r="I55" s="7"/>
      <c r="J55" s="7"/>
      <c r="K55" s="8"/>
      <c r="L55" s="8"/>
      <c r="M55" s="7"/>
      <c r="N55" s="11"/>
      <c r="O55" s="11"/>
      <c r="P55" s="7"/>
      <c r="Q55" s="7"/>
      <c r="R55" s="7"/>
      <c r="S55" s="7"/>
      <c r="T55" s="7"/>
      <c r="U55" s="7"/>
      <c r="V55" s="7"/>
      <c r="W55" s="7"/>
      <c r="X55" s="7"/>
      <c r="Y55" s="7"/>
      <c r="Z55" s="7"/>
      <c r="AA55" s="7"/>
      <c r="AB55" s="7"/>
      <c r="AC55" s="7"/>
    </row>
    <row r="56" spans="2:29" x14ac:dyDescent="0.3">
      <c r="B56" s="7"/>
      <c r="F56" s="7"/>
      <c r="G56" s="7"/>
      <c r="H56" s="7"/>
      <c r="I56" s="7"/>
      <c r="J56" s="7"/>
      <c r="K56" s="8"/>
      <c r="L56" s="8"/>
      <c r="M56" s="7"/>
      <c r="N56" s="11"/>
      <c r="O56" s="11"/>
      <c r="P56" s="7"/>
      <c r="Q56" s="7"/>
      <c r="R56" s="7"/>
      <c r="S56" s="7"/>
      <c r="T56" s="7"/>
      <c r="U56" s="7"/>
      <c r="V56" s="7"/>
      <c r="W56" s="7"/>
      <c r="X56" s="7"/>
      <c r="Y56" s="7"/>
      <c r="Z56" s="7"/>
      <c r="AA56" s="7"/>
      <c r="AB56" s="7"/>
      <c r="AC56" s="7"/>
    </row>
    <row r="57" spans="2:29" x14ac:dyDescent="0.3">
      <c r="B57" s="7"/>
      <c r="C57" s="7"/>
      <c r="D57" s="7"/>
      <c r="E57" s="7"/>
      <c r="F57" s="7"/>
      <c r="G57" s="7"/>
      <c r="H57" s="7"/>
      <c r="I57" s="7"/>
      <c r="J57" s="7"/>
      <c r="K57" s="8"/>
      <c r="L57" s="8"/>
      <c r="M57" s="7"/>
      <c r="N57" s="11"/>
      <c r="O57" s="11"/>
      <c r="P57" s="7"/>
      <c r="Q57" s="7"/>
      <c r="R57" s="7"/>
      <c r="S57" s="7"/>
      <c r="T57" s="7"/>
      <c r="U57" s="7"/>
      <c r="V57" s="7"/>
      <c r="W57" s="7"/>
      <c r="X57" s="7"/>
      <c r="Y57" s="7"/>
      <c r="Z57" s="7"/>
      <c r="AA57" s="7"/>
      <c r="AB57" s="7"/>
      <c r="AC57" s="7"/>
    </row>
    <row r="58" spans="2:29" x14ac:dyDescent="0.3">
      <c r="B58" s="7"/>
      <c r="C58" s="7"/>
      <c r="D58" s="7"/>
      <c r="E58" s="7"/>
      <c r="F58" s="7"/>
      <c r="G58" s="7"/>
      <c r="H58" s="7"/>
      <c r="I58" s="7"/>
      <c r="J58" s="7"/>
      <c r="K58" s="8"/>
      <c r="L58" s="8"/>
      <c r="M58" s="7"/>
      <c r="N58" s="11"/>
      <c r="O58" s="11"/>
      <c r="P58" s="7"/>
      <c r="Q58" s="7"/>
      <c r="R58" s="7"/>
      <c r="S58" s="7"/>
      <c r="T58" s="7"/>
      <c r="U58" s="7"/>
      <c r="V58" s="7"/>
      <c r="W58" s="7"/>
      <c r="X58" s="7"/>
      <c r="Y58" s="7"/>
      <c r="Z58" s="7"/>
      <c r="AA58" s="7"/>
      <c r="AB58" s="7"/>
      <c r="AC58" s="7"/>
    </row>
    <row r="59" spans="2:29" x14ac:dyDescent="0.3">
      <c r="B59" s="7"/>
      <c r="C59" s="7"/>
      <c r="D59" s="7"/>
      <c r="E59" s="7"/>
      <c r="F59" s="7"/>
      <c r="G59" s="7"/>
      <c r="H59" s="7"/>
      <c r="I59" s="7"/>
      <c r="J59" s="7"/>
      <c r="K59" s="8"/>
      <c r="L59" s="8"/>
      <c r="M59" s="7"/>
      <c r="N59" s="11"/>
      <c r="O59" s="11"/>
      <c r="P59" s="7"/>
      <c r="Q59" s="7"/>
      <c r="R59" s="7"/>
      <c r="S59" s="7"/>
      <c r="T59" s="7"/>
      <c r="U59" s="7"/>
      <c r="V59" s="7"/>
      <c r="W59" s="7"/>
      <c r="X59" s="7"/>
      <c r="Y59" s="7"/>
      <c r="Z59" s="7"/>
      <c r="AA59" s="7"/>
      <c r="AB59" s="7"/>
      <c r="AC59" s="7"/>
    </row>
    <row r="60" spans="2:29" x14ac:dyDescent="0.3">
      <c r="B60" s="7"/>
      <c r="C60" s="7"/>
      <c r="D60" s="7"/>
      <c r="E60" s="7"/>
      <c r="F60" s="7"/>
      <c r="G60" s="7"/>
      <c r="H60" s="7"/>
      <c r="I60" s="7"/>
      <c r="J60" s="7"/>
      <c r="K60" s="8"/>
      <c r="L60" s="8"/>
      <c r="M60" s="7"/>
      <c r="N60" s="11"/>
      <c r="O60" s="11"/>
      <c r="P60" s="7"/>
      <c r="Q60" s="7"/>
      <c r="R60" s="7"/>
      <c r="S60" s="7"/>
      <c r="T60" s="7"/>
      <c r="U60" s="7"/>
      <c r="V60" s="7"/>
      <c r="W60" s="7"/>
      <c r="X60" s="7"/>
      <c r="Y60" s="7"/>
      <c r="Z60" s="7"/>
      <c r="AA60" s="7"/>
      <c r="AB60" s="7"/>
      <c r="AC60" s="7"/>
    </row>
    <row r="61" spans="2:29" x14ac:dyDescent="0.3">
      <c r="B61" s="7"/>
      <c r="C61" s="7"/>
      <c r="D61" s="7"/>
      <c r="E61" s="7"/>
      <c r="F61" s="7"/>
      <c r="G61" s="7"/>
      <c r="H61" s="7"/>
      <c r="I61" s="7"/>
      <c r="J61" s="7"/>
      <c r="K61" s="8"/>
      <c r="L61" s="8"/>
      <c r="M61" s="7"/>
      <c r="N61" s="11"/>
      <c r="O61" s="11"/>
      <c r="P61" s="7"/>
      <c r="Q61" s="7"/>
      <c r="R61" s="7"/>
      <c r="S61" s="7"/>
      <c r="T61" s="7"/>
      <c r="U61" s="7"/>
      <c r="V61" s="7"/>
      <c r="W61" s="7"/>
      <c r="X61" s="7"/>
      <c r="Y61" s="7"/>
      <c r="Z61" s="7"/>
      <c r="AA61" s="7"/>
      <c r="AB61" s="7"/>
      <c r="AC61" s="7"/>
    </row>
    <row r="62" spans="2:29" x14ac:dyDescent="0.3">
      <c r="B62" s="7"/>
      <c r="C62" s="7"/>
      <c r="D62" s="7"/>
      <c r="E62" s="7"/>
      <c r="F62" s="7"/>
      <c r="G62" s="7"/>
      <c r="H62" s="7"/>
      <c r="I62" s="7"/>
      <c r="J62" s="7"/>
      <c r="K62" s="8"/>
      <c r="L62" s="8"/>
      <c r="M62" s="7"/>
      <c r="N62" s="11"/>
      <c r="O62" s="11"/>
      <c r="P62" s="7"/>
      <c r="Q62" s="7"/>
      <c r="R62" s="7"/>
      <c r="S62" s="7"/>
      <c r="T62" s="7"/>
      <c r="U62" s="7"/>
      <c r="V62" s="7"/>
      <c r="W62" s="7"/>
      <c r="X62" s="7"/>
      <c r="Y62" s="7"/>
      <c r="Z62" s="7"/>
      <c r="AA62" s="7"/>
      <c r="AB62" s="7"/>
      <c r="AC62" s="7"/>
    </row>
    <row r="63" spans="2:29" x14ac:dyDescent="0.3">
      <c r="B63" s="7"/>
      <c r="C63" s="7"/>
      <c r="D63" s="7"/>
      <c r="E63" s="7"/>
      <c r="F63" s="7"/>
      <c r="G63" s="7"/>
      <c r="H63" s="7"/>
      <c r="I63" s="7"/>
      <c r="J63" s="7"/>
      <c r="K63" s="8"/>
      <c r="L63" s="8"/>
      <c r="M63" s="7"/>
      <c r="N63" s="11"/>
      <c r="O63" s="11"/>
      <c r="P63" s="7"/>
      <c r="Q63" s="7"/>
      <c r="R63" s="7"/>
      <c r="S63" s="7"/>
      <c r="T63" s="7"/>
      <c r="U63" s="7"/>
      <c r="V63" s="7"/>
      <c r="W63" s="7"/>
      <c r="X63" s="7"/>
      <c r="Y63" s="7"/>
      <c r="Z63" s="7"/>
      <c r="AA63" s="7"/>
      <c r="AB63" s="7"/>
      <c r="AC63" s="7"/>
    </row>
    <row r="64" spans="2:29" x14ac:dyDescent="0.3">
      <c r="B64" s="7"/>
      <c r="C64" s="7"/>
      <c r="D64" s="7"/>
      <c r="E64" s="7"/>
      <c r="F64" s="7"/>
      <c r="G64" s="7"/>
      <c r="H64" s="7"/>
      <c r="I64" s="7"/>
      <c r="J64" s="7"/>
      <c r="K64" s="8"/>
      <c r="L64" s="8"/>
      <c r="M64" s="7"/>
      <c r="N64" s="11"/>
      <c r="O64" s="11"/>
      <c r="P64" s="7"/>
      <c r="Q64" s="7"/>
      <c r="R64" s="7"/>
      <c r="S64" s="7"/>
      <c r="T64" s="7"/>
      <c r="U64" s="7"/>
      <c r="V64" s="7"/>
      <c r="W64" s="7"/>
      <c r="X64" s="7"/>
      <c r="Y64" s="7"/>
      <c r="Z64" s="7"/>
      <c r="AA64" s="7"/>
      <c r="AB64" s="7"/>
      <c r="AC64" s="7"/>
    </row>
    <row r="65" spans="2:31" x14ac:dyDescent="0.3">
      <c r="B65" s="7"/>
      <c r="C65" s="7"/>
      <c r="D65" s="7"/>
      <c r="E65" s="7"/>
      <c r="F65" s="7"/>
      <c r="G65" s="7"/>
      <c r="H65" s="7"/>
      <c r="I65" s="7"/>
      <c r="J65" s="7"/>
      <c r="K65" s="8"/>
      <c r="L65" s="8"/>
      <c r="M65" s="7"/>
      <c r="N65" s="11"/>
      <c r="O65" s="11"/>
      <c r="P65" s="7"/>
      <c r="Q65" s="7"/>
      <c r="R65" s="7"/>
      <c r="S65" s="7"/>
      <c r="T65" s="7"/>
      <c r="U65" s="7"/>
      <c r="V65" s="7"/>
      <c r="W65" s="7"/>
      <c r="X65" s="7"/>
      <c r="Y65" s="7"/>
      <c r="Z65" s="7"/>
      <c r="AA65" s="7"/>
      <c r="AB65" s="7"/>
      <c r="AC65" s="7"/>
    </row>
    <row r="72" spans="2:31" x14ac:dyDescent="0.3">
      <c r="AE72" s="7"/>
    </row>
  </sheetData>
  <pageMargins left="0.7" right="0.7" top="0.75" bottom="0.75" header="0.3" footer="0.3"/>
  <drawing r:id="rId4"/>
  <tableParts count="2">
    <tablePart r:id="rId5"/>
    <tablePart r:id="rId6"/>
  </tableParts>
  <extLst>
    <ext xmlns:x14="http://schemas.microsoft.com/office/spreadsheetml/2009/9/main" uri="{05C60535-1F16-4fd2-B633-F4F36F0B64E0}">
      <x14:sparklineGroups xmlns:xm="http://schemas.microsoft.com/office/excel/2006/main">
        <x14:sparklineGroup displayEmptyCellsAs="gap" xr2:uid="{21BF8287-D192-43EA-983E-3DC42ED2677E}">
          <x14:colorSeries rgb="FF376092"/>
          <x14:colorNegative rgb="FFD00000"/>
          <x14:colorAxis rgb="FF000000"/>
          <x14:colorMarkers rgb="FFD00000"/>
          <x14:colorFirst rgb="FFD00000"/>
          <x14:colorLast rgb="FFD00000"/>
          <x14:colorHigh rgb="FFD00000"/>
          <x14:colorLow rgb="FFD00000"/>
          <x14:sparklines>
            <x14:sparkline>
              <xm:sqref>H43</xm:sqref>
            </x14:sparkline>
          </x14:sparklines>
        </x14:sparklineGroup>
        <x14:sparklineGroup displayEmptyCellsAs="gap" xr2:uid="{49D99613-86FA-417B-B7AE-EAC6D7B49C0E}">
          <x14:colorSeries rgb="FF323232"/>
          <x14:colorNegative rgb="FFD00000"/>
          <x14:colorAxis rgb="FF000000"/>
          <x14:colorMarkers rgb="FFD00000"/>
          <x14:colorFirst rgb="FFD00000"/>
          <x14:colorLast rgb="FFD00000"/>
          <x14:colorHigh rgb="FFD00000"/>
          <x14:colorLow rgb="FFD00000"/>
          <x14:sparklines>
            <x14:sparkline>
              <xm:sqref>J43</xm:sqref>
            </x14:sparkline>
          </x14:sparklines>
        </x14:sparklineGroup>
      </x14:sparklineGroups>
    </ex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Lad</dc:creator>
  <cp:lastModifiedBy>Vishakha Lad</cp:lastModifiedBy>
  <dcterms:created xsi:type="dcterms:W3CDTF">2026-05-08T07:12:05Z</dcterms:created>
  <dcterms:modified xsi:type="dcterms:W3CDTF">2026-05-08T09:00:50Z</dcterms:modified>
</cp:coreProperties>
</file>